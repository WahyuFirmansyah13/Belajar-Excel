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BA84800-9590-47B8-8945-9B74E36EF659}" xr6:coauthVersionLast="47" xr6:coauthVersionMax="47" xr10:uidLastSave="{00000000-0000-0000-0000-000000000000}"/>
  <bookViews>
    <workbookView xWindow="-110" yWindow="-110" windowWidth="19420" windowHeight="11020" xr2:uid="{A599540E-5985-4615-B0CD-E1CB8E33DEC2}"/>
  </bookViews>
  <sheets>
    <sheet name="Sheet1" sheetId="1" r:id="rId1"/>
  </sheets>
  <definedNames>
    <definedName name="TABEL_GAJI">Sheet1!$F$16:$I$18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5" i="1"/>
  <c r="I6" i="1"/>
  <c r="I7" i="1"/>
  <c r="I8" i="1"/>
  <c r="I9" i="1"/>
  <c r="I10" i="1"/>
  <c r="I11" i="1"/>
  <c r="I5" i="1"/>
  <c r="H6" i="1"/>
  <c r="H7" i="1"/>
  <c r="H8" i="1"/>
  <c r="H9" i="1"/>
  <c r="H10" i="1"/>
  <c r="H11" i="1"/>
  <c r="H5" i="1"/>
  <c r="G6" i="1"/>
  <c r="G7" i="1"/>
  <c r="G8" i="1"/>
  <c r="G9" i="1"/>
  <c r="G10" i="1"/>
  <c r="G11" i="1"/>
  <c r="G5" i="1"/>
  <c r="F6" i="1"/>
  <c r="F7" i="1"/>
  <c r="F8" i="1"/>
  <c r="F9" i="1"/>
  <c r="F10" i="1"/>
  <c r="F11" i="1"/>
  <c r="F5" i="1"/>
  <c r="E6" i="1"/>
  <c r="E7" i="1"/>
  <c r="E8" i="1"/>
  <c r="E9" i="1"/>
  <c r="E10" i="1"/>
  <c r="E11" i="1"/>
  <c r="E5" i="1"/>
</calcChain>
</file>

<file path=xl/sharedStrings.xml><?xml version="1.0" encoding="utf-8"?>
<sst xmlns="http://schemas.openxmlformats.org/spreadsheetml/2006/main" count="35" uniqueCount="30">
  <si>
    <t>DATA GAJI PEGAWAI PT. PUSAT CARA CARA</t>
  </si>
  <si>
    <t>No</t>
  </si>
  <si>
    <t>NIK</t>
  </si>
  <si>
    <t>Nama Pegawai</t>
  </si>
  <si>
    <t>Gol</t>
  </si>
  <si>
    <t>Gaji Pokok</t>
  </si>
  <si>
    <t>Tunjangan</t>
  </si>
  <si>
    <t>Transport</t>
  </si>
  <si>
    <t>Gaji</t>
  </si>
  <si>
    <t>Pokok</t>
  </si>
  <si>
    <t>Pajak</t>
  </si>
  <si>
    <t>Gaji Bersih</t>
  </si>
  <si>
    <t>Jumlah Gaji</t>
  </si>
  <si>
    <t>Tabel Gaji</t>
  </si>
  <si>
    <t>Tabel Pajak</t>
  </si>
  <si>
    <t>KR001</t>
  </si>
  <si>
    <t>KR002</t>
  </si>
  <si>
    <t>KR003</t>
  </si>
  <si>
    <t>KR004</t>
  </si>
  <si>
    <t>KR005</t>
  </si>
  <si>
    <t>KR006</t>
  </si>
  <si>
    <t>KR007</t>
  </si>
  <si>
    <t>ABIL</t>
  </si>
  <si>
    <t>ACIL</t>
  </si>
  <si>
    <t>ADIL</t>
  </si>
  <si>
    <t>AFIL</t>
  </si>
  <si>
    <t>AGIL</t>
  </si>
  <si>
    <t>AHIL</t>
  </si>
  <si>
    <t>AJIL</t>
  </si>
  <si>
    <t>J U M L A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</si>
</sst>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3" fillId="0" borderId="0" xfId="0" applyFont="1"/>
    <xf numFmtId="164" fontId="0" fillId="0" borderId="1" xfId="1" applyNumberFormat="1" applyFont="1" applyBorder="1"/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center"/>
    </xf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62A4-A9B5-4F75-AB20-1AAC9E0F7425}">
  <dimension ref="A1:J18"/>
  <sheetViews>
    <sheetView tabSelected="1" zoomScale="120" zoomScaleNormal="120" workbookViewId="0">
      <selection activeCell="K12" sqref="K12"/>
    </sheetView>
  </sheetViews>
  <sheetFormatPr defaultRowHeight="14.5" x14ac:dyDescent="0.35"/>
  <cols>
    <col min="1" max="2" width="7.7265625" customWidth="1"/>
    <col min="3" max="3" width="10" customWidth="1"/>
    <col min="4" max="4" width="7.7265625" customWidth="1"/>
    <col min="5" max="10" width="12.81640625" customWidth="1"/>
  </cols>
  <sheetData>
    <row r="1" spans="1:10" ht="15" thickBot="1" x14ac:dyDescent="0.4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thickTop="1" x14ac:dyDescent="0.35"/>
    <row r="3" spans="1:10" x14ac:dyDescent="0.35">
      <c r="A3" s="10" t="s">
        <v>1</v>
      </c>
      <c r="B3" s="10" t="s">
        <v>2</v>
      </c>
      <c r="C3" s="14" t="s">
        <v>3</v>
      </c>
      <c r="D3" s="10" t="s">
        <v>4</v>
      </c>
      <c r="E3" s="11" t="s">
        <v>8</v>
      </c>
      <c r="F3" s="11"/>
      <c r="G3" s="11"/>
      <c r="H3" s="14" t="s">
        <v>12</v>
      </c>
      <c r="I3" s="10" t="s">
        <v>10</v>
      </c>
      <c r="J3" s="10" t="s">
        <v>11</v>
      </c>
    </row>
    <row r="4" spans="1:10" x14ac:dyDescent="0.35">
      <c r="A4" s="10"/>
      <c r="B4" s="10"/>
      <c r="C4" s="14"/>
      <c r="D4" s="10"/>
      <c r="E4" s="6" t="s">
        <v>9</v>
      </c>
      <c r="F4" s="6" t="s">
        <v>6</v>
      </c>
      <c r="G4" s="6" t="s">
        <v>7</v>
      </c>
      <c r="H4" s="14"/>
      <c r="I4" s="10"/>
      <c r="J4" s="10"/>
    </row>
    <row r="5" spans="1:10" x14ac:dyDescent="0.35">
      <c r="A5" s="1">
        <v>1</v>
      </c>
      <c r="B5" s="1" t="s">
        <v>15</v>
      </c>
      <c r="C5" s="7" t="s">
        <v>22</v>
      </c>
      <c r="D5" s="1">
        <v>2</v>
      </c>
      <c r="E5" s="3">
        <f>VLOOKUP(D5,$F$15:$I$18,2,0)</f>
        <v>4000000</v>
      </c>
      <c r="F5" s="3">
        <f>VLOOKUP(D5,$F$15:$I$18,3,0)</f>
        <v>1000000</v>
      </c>
      <c r="G5" s="3">
        <f>VLOOKUP(D5,$F$15:$I$18,4,0)</f>
        <v>1500000</v>
      </c>
      <c r="H5" s="3">
        <f>SUM(E5:G5)</f>
        <v>6500000</v>
      </c>
      <c r="I5" s="3">
        <f>IF(D5=1,H5*2.5%,IF(D5=2,H5*3.5%,H5*5%))</f>
        <v>227500.00000000003</v>
      </c>
      <c r="J5" s="3">
        <f>H5-I5</f>
        <v>6272500</v>
      </c>
    </row>
    <row r="6" spans="1:10" x14ac:dyDescent="0.35">
      <c r="A6" s="1">
        <v>2</v>
      </c>
      <c r="B6" s="1" t="s">
        <v>16</v>
      </c>
      <c r="C6" s="7" t="s">
        <v>23</v>
      </c>
      <c r="D6" s="1">
        <v>3</v>
      </c>
      <c r="E6" s="3">
        <f t="shared" ref="E6:E11" si="0">VLOOKUP(D6,$F$15:$I$18,2,0)</f>
        <v>7000000</v>
      </c>
      <c r="F6" s="3">
        <f t="shared" ref="F6:F11" si="1">VLOOKUP(D6,$F$15:$I$18,3,0)</f>
        <v>1500000</v>
      </c>
      <c r="G6" s="3">
        <f t="shared" ref="G6:G11" si="2">VLOOKUP(D6,$F$15:$I$18,4,0)</f>
        <v>2000000</v>
      </c>
      <c r="H6" s="3">
        <f t="shared" ref="H6:H11" si="3">SUM(E6:G6)</f>
        <v>10500000</v>
      </c>
      <c r="I6" s="3">
        <f t="shared" ref="I6:I11" si="4">IF(D6=1,H6*2.5%,IF(D6=2,H6*3.5%,H6*5%))</f>
        <v>525000</v>
      </c>
      <c r="J6" s="3">
        <f t="shared" ref="J6:J12" si="5">H6-I6</f>
        <v>9975000</v>
      </c>
    </row>
    <row r="7" spans="1:10" x14ac:dyDescent="0.35">
      <c r="A7" s="1">
        <v>3</v>
      </c>
      <c r="B7" s="1" t="s">
        <v>17</v>
      </c>
      <c r="C7" s="7" t="s">
        <v>24</v>
      </c>
      <c r="D7" s="1">
        <v>1</v>
      </c>
      <c r="E7" s="3">
        <f t="shared" si="0"/>
        <v>2500000</v>
      </c>
      <c r="F7" s="3">
        <f t="shared" si="1"/>
        <v>750000</v>
      </c>
      <c r="G7" s="3">
        <f t="shared" si="2"/>
        <v>1000000</v>
      </c>
      <c r="H7" s="3">
        <f t="shared" si="3"/>
        <v>4250000</v>
      </c>
      <c r="I7" s="3">
        <f t="shared" si="4"/>
        <v>106250</v>
      </c>
      <c r="J7" s="3">
        <f t="shared" si="5"/>
        <v>4143750</v>
      </c>
    </row>
    <row r="8" spans="1:10" x14ac:dyDescent="0.35">
      <c r="A8" s="1">
        <v>4</v>
      </c>
      <c r="B8" s="1" t="s">
        <v>18</v>
      </c>
      <c r="C8" s="7" t="s">
        <v>25</v>
      </c>
      <c r="D8" s="1">
        <v>2</v>
      </c>
      <c r="E8" s="3">
        <f t="shared" si="0"/>
        <v>4000000</v>
      </c>
      <c r="F8" s="3">
        <f t="shared" si="1"/>
        <v>1000000</v>
      </c>
      <c r="G8" s="3">
        <f t="shared" si="2"/>
        <v>1500000</v>
      </c>
      <c r="H8" s="3">
        <f t="shared" si="3"/>
        <v>6500000</v>
      </c>
      <c r="I8" s="3">
        <f t="shared" si="4"/>
        <v>227500.00000000003</v>
      </c>
      <c r="J8" s="3">
        <f t="shared" si="5"/>
        <v>6272500</v>
      </c>
    </row>
    <row r="9" spans="1:10" x14ac:dyDescent="0.35">
      <c r="A9" s="1">
        <v>5</v>
      </c>
      <c r="B9" s="1" t="s">
        <v>19</v>
      </c>
      <c r="C9" s="7" t="s">
        <v>26</v>
      </c>
      <c r="D9" s="1">
        <v>2</v>
      </c>
      <c r="E9" s="3">
        <f t="shared" si="0"/>
        <v>4000000</v>
      </c>
      <c r="F9" s="3">
        <f t="shared" si="1"/>
        <v>1000000</v>
      </c>
      <c r="G9" s="3">
        <f t="shared" si="2"/>
        <v>1500000</v>
      </c>
      <c r="H9" s="3">
        <f t="shared" si="3"/>
        <v>6500000</v>
      </c>
      <c r="I9" s="3">
        <f t="shared" si="4"/>
        <v>227500.00000000003</v>
      </c>
      <c r="J9" s="3">
        <f t="shared" si="5"/>
        <v>6272500</v>
      </c>
    </row>
    <row r="10" spans="1:10" x14ac:dyDescent="0.35">
      <c r="A10" s="1">
        <v>6</v>
      </c>
      <c r="B10" s="1" t="s">
        <v>20</v>
      </c>
      <c r="C10" s="7" t="s">
        <v>27</v>
      </c>
      <c r="D10" s="1">
        <v>1</v>
      </c>
      <c r="E10" s="3">
        <f t="shared" si="0"/>
        <v>2500000</v>
      </c>
      <c r="F10" s="3">
        <f t="shared" si="1"/>
        <v>750000</v>
      </c>
      <c r="G10" s="3">
        <f t="shared" si="2"/>
        <v>1000000</v>
      </c>
      <c r="H10" s="3">
        <f t="shared" si="3"/>
        <v>4250000</v>
      </c>
      <c r="I10" s="3">
        <f t="shared" si="4"/>
        <v>106250</v>
      </c>
      <c r="J10" s="3">
        <f t="shared" si="5"/>
        <v>4143750</v>
      </c>
    </row>
    <row r="11" spans="1:10" x14ac:dyDescent="0.35">
      <c r="A11" s="1">
        <v>7</v>
      </c>
      <c r="B11" s="1" t="s">
        <v>21</v>
      </c>
      <c r="C11" s="7" t="s">
        <v>28</v>
      </c>
      <c r="D11" s="1">
        <v>3</v>
      </c>
      <c r="E11" s="3">
        <f t="shared" si="0"/>
        <v>7000000</v>
      </c>
      <c r="F11" s="3">
        <f t="shared" si="1"/>
        <v>1500000</v>
      </c>
      <c r="G11" s="3">
        <f t="shared" si="2"/>
        <v>2000000</v>
      </c>
      <c r="H11" s="3">
        <f t="shared" si="3"/>
        <v>10500000</v>
      </c>
      <c r="I11" s="3">
        <f t="shared" si="4"/>
        <v>525000</v>
      </c>
      <c r="J11" s="3">
        <f t="shared" si="5"/>
        <v>9975000</v>
      </c>
    </row>
    <row r="12" spans="1:10" x14ac:dyDescent="0.35">
      <c r="A12" s="13" t="s">
        <v>29</v>
      </c>
      <c r="B12" s="13"/>
      <c r="C12" s="13"/>
      <c r="D12" s="13"/>
      <c r="E12" s="13"/>
      <c r="F12" s="13"/>
      <c r="G12" s="13"/>
      <c r="H12" s="13"/>
      <c r="I12" s="9"/>
      <c r="J12" s="3"/>
    </row>
    <row r="13" spans="1:10" x14ac:dyDescent="0.35">
      <c r="A13" s="8"/>
      <c r="B13" s="8"/>
      <c r="C13" s="8"/>
      <c r="D13" s="8"/>
      <c r="E13" s="8"/>
      <c r="F13" s="8"/>
      <c r="G13" s="8"/>
      <c r="H13" s="8"/>
    </row>
    <row r="14" spans="1:10" x14ac:dyDescent="0.35">
      <c r="A14" s="2" t="s">
        <v>14</v>
      </c>
      <c r="F14" s="2" t="s">
        <v>13</v>
      </c>
    </row>
    <row r="15" spans="1:10" x14ac:dyDescent="0.35">
      <c r="A15" s="6" t="s">
        <v>4</v>
      </c>
      <c r="B15" s="1">
        <v>1</v>
      </c>
      <c r="C15" s="1">
        <v>2</v>
      </c>
      <c r="D15" s="1">
        <v>3</v>
      </c>
      <c r="F15" s="6" t="s">
        <v>4</v>
      </c>
      <c r="G15" s="6" t="s">
        <v>5</v>
      </c>
      <c r="H15" s="6" t="s">
        <v>6</v>
      </c>
      <c r="I15" s="6" t="s">
        <v>7</v>
      </c>
    </row>
    <row r="16" spans="1:10" x14ac:dyDescent="0.35">
      <c r="A16" s="6" t="s">
        <v>10</v>
      </c>
      <c r="B16" s="4">
        <v>2.5000000000000001E-2</v>
      </c>
      <c r="C16" s="4">
        <v>3.5000000000000003E-2</v>
      </c>
      <c r="D16" s="5">
        <v>0.05</v>
      </c>
      <c r="F16" s="1">
        <v>1</v>
      </c>
      <c r="G16" s="3">
        <v>2500000</v>
      </c>
      <c r="H16" s="3">
        <v>750000</v>
      </c>
      <c r="I16" s="3">
        <v>1000000</v>
      </c>
    </row>
    <row r="17" spans="6:9" x14ac:dyDescent="0.35">
      <c r="F17" s="1">
        <v>2</v>
      </c>
      <c r="G17" s="3">
        <v>4000000</v>
      </c>
      <c r="H17" s="3">
        <v>1000000</v>
      </c>
      <c r="I17" s="3">
        <v>1500000</v>
      </c>
    </row>
    <row r="18" spans="6:9" x14ac:dyDescent="0.35">
      <c r="F18" s="1">
        <v>3</v>
      </c>
      <c r="G18" s="3">
        <v>7000000</v>
      </c>
      <c r="H18" s="3">
        <v>1500000</v>
      </c>
      <c r="I18" s="3">
        <v>2000000</v>
      </c>
    </row>
  </sheetData>
  <mergeCells count="10">
    <mergeCell ref="J3:J4"/>
    <mergeCell ref="E3:G3"/>
    <mergeCell ref="A1:J1"/>
    <mergeCell ref="A12:H12"/>
    <mergeCell ref="A3:A4"/>
    <mergeCell ref="B3:B4"/>
    <mergeCell ref="C3:C4"/>
    <mergeCell ref="D3:D4"/>
    <mergeCell ref="H3:H4"/>
    <mergeCell ref="I3:I4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TABEL_GAJI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azzaury</dc:creator>
  <cp:lastModifiedBy>ASUS</cp:lastModifiedBy>
  <dcterms:created xsi:type="dcterms:W3CDTF">2023-08-08T03:44:55Z</dcterms:created>
  <dcterms:modified xsi:type="dcterms:W3CDTF">2025-07-09T10:21:27Z</dcterms:modified>
</cp:coreProperties>
</file>