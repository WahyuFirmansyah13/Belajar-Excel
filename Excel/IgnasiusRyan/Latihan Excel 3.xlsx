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CFADF8B-B891-41DB-B87E-281FD6C6E1F6}" xr6:coauthVersionLast="47" xr6:coauthVersionMax="47" xr10:uidLastSave="{00000000-0000-0000-0000-000000000000}"/>
  <bookViews>
    <workbookView xWindow="-110" yWindow="-110" windowWidth="19420" windowHeight="11020" xr2:uid="{C1526CCC-14F4-4EB9-8B82-DEF932E10959}"/>
  </bookViews>
  <sheets>
    <sheet name="Sheet1" sheetId="1" r:id="rId1"/>
  </sheets>
  <definedNames>
    <definedName name="TABEL_SETORAN">Sheet1!$A$19:$F$21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D13" i="1"/>
  <c r="D12" i="1"/>
  <c r="L15" i="1"/>
  <c r="K15" i="1"/>
  <c r="L14" i="1"/>
  <c r="K14" i="1"/>
  <c r="L13" i="1"/>
  <c r="K13" i="1"/>
  <c r="L12" i="1"/>
  <c r="K12" i="1"/>
  <c r="L6" i="1"/>
  <c r="L7" i="1"/>
  <c r="L8" i="1"/>
  <c r="L9" i="1"/>
  <c r="L10" i="1"/>
  <c r="L11" i="1"/>
  <c r="L5" i="1"/>
  <c r="K6" i="1"/>
  <c r="K7" i="1"/>
  <c r="K8" i="1"/>
  <c r="K9" i="1"/>
  <c r="K10" i="1"/>
  <c r="K11" i="1"/>
  <c r="K5" i="1"/>
  <c r="J6" i="1"/>
  <c r="J7" i="1"/>
  <c r="J8" i="1"/>
  <c r="J9" i="1"/>
  <c r="J10" i="1"/>
  <c r="J11" i="1"/>
  <c r="J5" i="1"/>
  <c r="I5" i="1"/>
  <c r="I6" i="1"/>
  <c r="I7" i="1"/>
  <c r="I8" i="1"/>
  <c r="I9" i="1"/>
  <c r="I10" i="1"/>
  <c r="I11" i="1"/>
  <c r="D6" i="1"/>
  <c r="G6" i="1" s="1"/>
  <c r="D7" i="1"/>
  <c r="F7" i="1" s="1"/>
  <c r="D8" i="1"/>
  <c r="F8" i="1" s="1"/>
  <c r="D9" i="1"/>
  <c r="F9" i="1" s="1"/>
  <c r="D10" i="1"/>
  <c r="G10" i="1" s="1"/>
  <c r="D11" i="1"/>
  <c r="F11" i="1" s="1"/>
  <c r="D5" i="1"/>
  <c r="F10" i="1" l="1"/>
  <c r="H10" i="1" s="1"/>
  <c r="F6" i="1"/>
  <c r="H6" i="1" s="1"/>
  <c r="G9" i="1"/>
  <c r="H9" i="1" s="1"/>
  <c r="G5" i="1"/>
  <c r="G8" i="1"/>
  <c r="H8" i="1" s="1"/>
  <c r="F5" i="1"/>
  <c r="H5" i="1" s="1"/>
  <c r="G11" i="1"/>
  <c r="H11" i="1" s="1"/>
  <c r="G7" i="1"/>
  <c r="H7" i="1" s="1"/>
</calcChain>
</file>

<file path=xl/sharedStrings.xml><?xml version="1.0" encoding="utf-8"?>
<sst xmlns="http://schemas.openxmlformats.org/spreadsheetml/2006/main" count="58" uniqueCount="49">
  <si>
    <t>NO</t>
  </si>
  <si>
    <t>NAMA SOPIR</t>
  </si>
  <si>
    <t>KODE</t>
  </si>
  <si>
    <t>JENIS ANGKUTAN</t>
  </si>
  <si>
    <t>SETORAN WAJIB</t>
  </si>
  <si>
    <t>JUMLAH SETORAN</t>
  </si>
  <si>
    <t>UPAH SOPIR</t>
  </si>
  <si>
    <t>KELEBIHAN</t>
  </si>
  <si>
    <t>BONUS</t>
  </si>
  <si>
    <t>SOPIR</t>
  </si>
  <si>
    <t>PERUSAHAAN</t>
  </si>
  <si>
    <t>PENGHASILAN</t>
  </si>
  <si>
    <t>Tabel Setoran &amp; Upah</t>
  </si>
  <si>
    <t>BS</t>
  </si>
  <si>
    <t>EL</t>
  </si>
  <si>
    <t>AN</t>
  </si>
  <si>
    <t>Bus</t>
  </si>
  <si>
    <t>Elf</t>
  </si>
  <si>
    <t>Angkot</t>
  </si>
  <si>
    <t>Jumlah Bus Terpakai</t>
  </si>
  <si>
    <t>Jumlah Elf Terpakai</t>
  </si>
  <si>
    <t>Jumlah Angkot Terpakai</t>
  </si>
  <si>
    <t>Jumlah Penghasilan</t>
  </si>
  <si>
    <t>ABIL</t>
  </si>
  <si>
    <t>ACIL</t>
  </si>
  <si>
    <t>ADIL</t>
  </si>
  <si>
    <t>AFIL</t>
  </si>
  <si>
    <t>AGIL</t>
  </si>
  <si>
    <t>AHIL</t>
  </si>
  <si>
    <t>AJIL</t>
  </si>
  <si>
    <t>Penghasilan Tertinggi</t>
  </si>
  <si>
    <t>Penghasilan Terendah</t>
  </si>
  <si>
    <t>Rata-Rata Penghasilan</t>
  </si>
  <si>
    <t>Hitung jumlah setiap jenis angkutan yang terpakai</t>
  </si>
  <si>
    <t>Hitung Jumlah Penghasilan Total, Tertinggi, Terendah dan Rata-Rata</t>
  </si>
  <si>
    <t>INSTRUKSI:</t>
  </si>
  <si>
    <t>LAPORAN PENERIMAAN HARIAN</t>
  </si>
  <si>
    <t>BS01</t>
  </si>
  <si>
    <t>AN02</t>
  </si>
  <si>
    <t>EL03</t>
  </si>
  <si>
    <t>EL04</t>
  </si>
  <si>
    <t>AN05</t>
  </si>
  <si>
    <t>BS06</t>
  </si>
  <si>
    <t>BS07</t>
  </si>
  <si>
    <r>
      <rPr>
        <b/>
        <sz val="11"/>
        <color theme="1"/>
        <rFont val="Calibri"/>
        <family val="2"/>
        <scheme val="minor"/>
      </rPr>
      <t>BONUS SOPIR</t>
    </r>
    <r>
      <rPr>
        <sz val="11"/>
        <color theme="1"/>
        <rFont val="Calibri"/>
        <family val="2"/>
        <charset val="1"/>
        <scheme val="minor"/>
      </rPr>
      <t xml:space="preserve"> dan </t>
    </r>
    <r>
      <rPr>
        <b/>
        <sz val="11"/>
        <color theme="1"/>
        <rFont val="Calibri"/>
        <family val="2"/>
        <scheme val="minor"/>
      </rPr>
      <t xml:space="preserve">BONUS PERUSAHAAN </t>
    </r>
    <r>
      <rPr>
        <sz val="11"/>
        <color theme="1"/>
        <rFont val="Calibri"/>
        <family val="2"/>
        <charset val="1"/>
        <scheme val="minor"/>
      </rPr>
      <t>diisi dengan mengacu pada kolom prosentase bonus</t>
    </r>
  </si>
  <si>
    <r>
      <rPr>
        <b/>
        <sz val="11"/>
        <color theme="1"/>
        <rFont val="Calibri"/>
        <family val="2"/>
        <scheme val="minor"/>
      </rPr>
      <t>PENGHASILAN SOPIR</t>
    </r>
    <r>
      <rPr>
        <sz val="11"/>
        <color theme="1"/>
        <rFont val="Calibri"/>
        <family val="2"/>
        <charset val="1"/>
        <scheme val="minor"/>
      </rPr>
      <t xml:space="preserve"> didapat dari </t>
    </r>
    <r>
      <rPr>
        <b/>
        <sz val="11"/>
        <color theme="1"/>
        <rFont val="Calibri"/>
        <family val="2"/>
        <scheme val="minor"/>
      </rPr>
      <t>UPAH SOPIR</t>
    </r>
    <r>
      <rPr>
        <sz val="11"/>
        <color theme="1"/>
        <rFont val="Calibri"/>
        <family val="2"/>
        <charset val="1"/>
        <scheme val="minor"/>
      </rPr>
      <t xml:space="preserve"> + </t>
    </r>
    <r>
      <rPr>
        <b/>
        <sz val="11"/>
        <color theme="1"/>
        <rFont val="Calibri"/>
        <family val="2"/>
        <scheme val="minor"/>
      </rPr>
      <t>BONUS</t>
    </r>
  </si>
  <si>
    <r>
      <rPr>
        <b/>
        <sz val="11"/>
        <color theme="1"/>
        <rFont val="Calibri"/>
        <family val="2"/>
        <scheme val="minor"/>
      </rPr>
      <t>PENGHASILAN PERUSAHAAN</t>
    </r>
    <r>
      <rPr>
        <sz val="11"/>
        <color theme="1"/>
        <rFont val="Calibri"/>
        <family val="2"/>
        <charset val="1"/>
        <scheme val="minor"/>
      </rPr>
      <t xml:space="preserve"> didapat dari </t>
    </r>
    <r>
      <rPr>
        <b/>
        <sz val="11"/>
        <color theme="1"/>
        <rFont val="Calibri"/>
        <family val="2"/>
        <scheme val="minor"/>
      </rPr>
      <t>SETORAN WAJIB</t>
    </r>
    <r>
      <rPr>
        <sz val="11"/>
        <color theme="1"/>
        <rFont val="Calibri"/>
        <family val="2"/>
        <charset val="1"/>
        <scheme val="minor"/>
      </rPr>
      <t xml:space="preserve"> + </t>
    </r>
    <r>
      <rPr>
        <b/>
        <sz val="11"/>
        <color theme="1"/>
        <rFont val="Calibri"/>
        <family val="2"/>
        <scheme val="minor"/>
      </rPr>
      <t>BONUS PERUSAHAAN</t>
    </r>
  </si>
  <si>
    <r>
      <rPr>
        <b/>
        <sz val="11"/>
        <color theme="1"/>
        <rFont val="Calibri"/>
        <family val="2"/>
        <scheme val="minor"/>
      </rPr>
      <t>JENIS ANGKUTAN, SETORAN WAJIB</t>
    </r>
    <r>
      <rPr>
        <sz val="11"/>
        <color theme="1"/>
        <rFont val="Calibri"/>
        <family val="2"/>
        <charset val="1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>UPAH SOPIR</t>
    </r>
    <r>
      <rPr>
        <sz val="11"/>
        <color theme="1"/>
        <rFont val="Calibri"/>
        <family val="2"/>
        <charset val="1"/>
        <scheme val="minor"/>
      </rPr>
      <t xml:space="preserve"> ditentukan berdasarkan 2 digit awal kolom </t>
    </r>
    <r>
      <rPr>
        <b/>
        <sz val="11"/>
        <color theme="1"/>
        <rFont val="Calibri"/>
        <family val="2"/>
        <scheme val="minor"/>
      </rPr>
      <t>KODE</t>
    </r>
    <r>
      <rPr>
        <sz val="11"/>
        <color theme="1"/>
        <rFont val="Calibri"/>
        <family val="2"/>
        <charset val="1"/>
        <scheme val="minor"/>
      </rPr>
      <t xml:space="preserve">, dan mengacu pada </t>
    </r>
    <r>
      <rPr>
        <b/>
        <sz val="11"/>
        <color theme="1"/>
        <rFont val="Calibri"/>
        <family val="2"/>
        <scheme val="minor"/>
      </rPr>
      <t>Tabel Setoran &amp; Upah</t>
    </r>
  </si>
  <si>
    <r>
      <t xml:space="preserve">Jika </t>
    </r>
    <r>
      <rPr>
        <b/>
        <sz val="11"/>
        <color theme="1"/>
        <rFont val="Calibri"/>
        <family val="2"/>
        <scheme val="minor"/>
      </rPr>
      <t>JUMLAH SETORAN</t>
    </r>
    <r>
      <rPr>
        <sz val="11"/>
        <color theme="1"/>
        <rFont val="Calibri"/>
        <family val="2"/>
        <charset val="1"/>
        <scheme val="minor"/>
      </rPr>
      <t xml:space="preserve"> dikurangi (</t>
    </r>
    <r>
      <rPr>
        <b/>
        <sz val="11"/>
        <color theme="1"/>
        <rFont val="Calibri"/>
        <family val="2"/>
        <scheme val="minor"/>
      </rPr>
      <t>SETORAN WAJIB</t>
    </r>
    <r>
      <rPr>
        <sz val="11"/>
        <color theme="1"/>
        <rFont val="Calibri"/>
        <family val="2"/>
        <charset val="1"/>
        <scheme val="minor"/>
      </rPr>
      <t xml:space="preserve"> + </t>
    </r>
    <r>
      <rPr>
        <b/>
        <sz val="11"/>
        <color theme="1"/>
        <rFont val="Calibri"/>
        <family val="2"/>
        <scheme val="minor"/>
      </rPr>
      <t>UPAH SOPIR</t>
    </r>
    <r>
      <rPr>
        <sz val="11"/>
        <color theme="1"/>
        <rFont val="Calibri"/>
        <family val="2"/>
        <charset val="1"/>
        <scheme val="minor"/>
      </rPr>
      <t>) ternyata ada sisanya, maka tampilkan nilai sisanya</t>
    </r>
    <r>
      <rPr>
        <sz val="11"/>
        <color theme="1"/>
        <rFont val="Calibri"/>
        <family val="2"/>
        <scheme val="minor"/>
      </rPr>
      <t xml:space="preserve"> pada kolom KELEBIHAN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</si>
</sst>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1" applyNumberFormat="1" applyFont="1" applyBorder="1"/>
    <xf numFmtId="3" fontId="0" fillId="0" borderId="3" xfId="0" applyNumberFormat="1" applyBorder="1"/>
    <xf numFmtId="3" fontId="0" fillId="0" borderId="1" xfId="0" applyNumberFormat="1" applyBorder="1"/>
    <xf numFmtId="0" fontId="4" fillId="0" borderId="0" xfId="0" applyFont="1"/>
    <xf numFmtId="9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3" fontId="3" fillId="0" borderId="1" xfId="0" applyNumberFormat="1" applyFont="1" applyBorder="1"/>
    <xf numFmtId="3" fontId="0" fillId="0" borderId="3" xfId="0" applyNumberFormat="1" applyBorder="1" applyAlignment="1">
      <alignment horizontal="right" indent="1"/>
    </xf>
    <xf numFmtId="3" fontId="0" fillId="0" borderId="3" xfId="0" applyNumberFormat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5" fillId="0" borderId="7" xfId="0" applyFont="1" applyBorder="1" applyAlignment="1">
      <alignment horizontal="left" indent="1"/>
    </xf>
    <xf numFmtId="0" fontId="5" fillId="0" borderId="0" xfId="0" applyFont="1" applyAlignment="1">
      <alignment horizontal="left" indent="1"/>
    </xf>
    <xf numFmtId="0" fontId="5" fillId="0" borderId="8" xfId="0" applyFont="1" applyBorder="1" applyAlignment="1">
      <alignment horizontal="left" indent="1"/>
    </xf>
    <xf numFmtId="0" fontId="5" fillId="0" borderId="9" xfId="0" applyFont="1" applyBorder="1" applyAlignment="1">
      <alignment horizontal="left" indent="1"/>
    </xf>
    <xf numFmtId="0" fontId="5" fillId="0" borderId="10" xfId="0" applyFont="1" applyBorder="1" applyAlignment="1">
      <alignment horizontal="left" indent="1"/>
    </xf>
    <xf numFmtId="0" fontId="5" fillId="0" borderId="11" xfId="0" applyFont="1" applyBorder="1" applyAlignment="1">
      <alignment horizontal="left" indent="1"/>
    </xf>
    <xf numFmtId="0" fontId="6" fillId="0" borderId="13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indent="1"/>
    </xf>
    <xf numFmtId="3" fontId="0" fillId="0" borderId="14" xfId="0" applyNumberFormat="1" applyFill="1" applyBorder="1" applyAlignment="1">
      <alignment horizontal="right" indent="1"/>
    </xf>
    <xf numFmtId="3" fontId="0" fillId="0" borderId="14" xfId="0" applyNumberForma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85D3-9EC5-41CD-B9FC-93C77687BC4E}">
  <dimension ref="A1:L30"/>
  <sheetViews>
    <sheetView tabSelected="1" topLeftCell="A7" zoomScaleNormal="100" workbookViewId="0">
      <selection activeCell="E15" sqref="E15"/>
    </sheetView>
  </sheetViews>
  <sheetFormatPr defaultRowHeight="14.5" x14ac:dyDescent="0.35"/>
  <cols>
    <col min="1" max="1" width="6.54296875" customWidth="1"/>
    <col min="2" max="2" width="12" customWidth="1"/>
    <col min="3" max="3" width="10.1796875" customWidth="1"/>
    <col min="4" max="4" width="12.1796875" customWidth="1"/>
    <col min="5" max="5" width="11.26953125" customWidth="1"/>
    <col min="6" max="6" width="13.7265625" customWidth="1"/>
    <col min="7" max="9" width="11.26953125" customWidth="1"/>
    <col min="10" max="10" width="13.453125" bestFit="1" customWidth="1"/>
    <col min="11" max="11" width="12.1796875" customWidth="1"/>
    <col min="12" max="12" width="13.453125" bestFit="1" customWidth="1"/>
  </cols>
  <sheetData>
    <row r="1" spans="1:12" ht="19" thickBot="1" x14ac:dyDescent="0.5">
      <c r="A1" s="26" t="s">
        <v>36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15" thickTop="1" x14ac:dyDescent="0.35"/>
    <row r="3" spans="1:12" s="1" customFormat="1" x14ac:dyDescent="0.35">
      <c r="A3" s="33" t="s">
        <v>0</v>
      </c>
      <c r="B3" s="35" t="s">
        <v>1</v>
      </c>
      <c r="C3" s="35" t="s">
        <v>2</v>
      </c>
      <c r="D3" s="35" t="s">
        <v>3</v>
      </c>
      <c r="E3" s="35" t="s">
        <v>5</v>
      </c>
      <c r="F3" s="35" t="s">
        <v>4</v>
      </c>
      <c r="G3" s="35" t="s">
        <v>6</v>
      </c>
      <c r="H3" s="35" t="s">
        <v>7</v>
      </c>
      <c r="I3" s="33" t="s">
        <v>8</v>
      </c>
      <c r="J3" s="33"/>
      <c r="K3" s="33" t="s">
        <v>11</v>
      </c>
      <c r="L3" s="33"/>
    </row>
    <row r="4" spans="1:12" s="1" customFormat="1" ht="15" thickBot="1" x14ac:dyDescent="0.4">
      <c r="A4" s="34"/>
      <c r="B4" s="36"/>
      <c r="C4" s="36"/>
      <c r="D4" s="36"/>
      <c r="E4" s="36"/>
      <c r="F4" s="36"/>
      <c r="G4" s="36"/>
      <c r="H4" s="36"/>
      <c r="I4" s="13" t="s">
        <v>9</v>
      </c>
      <c r="J4" s="13" t="s">
        <v>10</v>
      </c>
      <c r="K4" s="13" t="s">
        <v>9</v>
      </c>
      <c r="L4" s="13" t="s">
        <v>10</v>
      </c>
    </row>
    <row r="5" spans="1:12" ht="15" thickTop="1" x14ac:dyDescent="0.35">
      <c r="A5" s="3">
        <v>1</v>
      </c>
      <c r="B5" s="10" t="s">
        <v>23</v>
      </c>
      <c r="C5" s="3" t="s">
        <v>37</v>
      </c>
      <c r="D5" s="10" t="str">
        <f>VLOOKUP(LEFT(C5,2),$A$17:$F$21,2,0)</f>
        <v>Bus</v>
      </c>
      <c r="E5" s="6">
        <v>220000</v>
      </c>
      <c r="F5" s="15">
        <f>VLOOKUP(D5,$B$17:$F$21,2,0)</f>
        <v>100000</v>
      </c>
      <c r="G5" s="16">
        <f>VLOOKUP(D5,$B$17:$F$21,3,0)</f>
        <v>50000</v>
      </c>
      <c r="H5" s="16">
        <f>E5-(F5+G5)</f>
        <v>70000</v>
      </c>
      <c r="I5" s="16">
        <f>VLOOKUP(D5,$B$19:$F$21,5,0)*H5</f>
        <v>35000</v>
      </c>
      <c r="J5" s="16">
        <f>VLOOKUP(D5,$B$19:$F$21,5,0)*H5</f>
        <v>35000</v>
      </c>
      <c r="K5" s="16">
        <f>G5+I5</f>
        <v>85000</v>
      </c>
      <c r="L5" s="16">
        <f>F5+J5</f>
        <v>135000</v>
      </c>
    </row>
    <row r="6" spans="1:12" x14ac:dyDescent="0.35">
      <c r="A6" s="4">
        <v>2</v>
      </c>
      <c r="B6" s="11" t="s">
        <v>24</v>
      </c>
      <c r="C6" s="4" t="s">
        <v>38</v>
      </c>
      <c r="D6" s="10" t="str">
        <f t="shared" ref="D6:D11" si="0">VLOOKUP(LEFT(C6,2),$A$17:$F$21,2,0)</f>
        <v>Angkot</v>
      </c>
      <c r="E6" s="7">
        <v>120000</v>
      </c>
      <c r="F6" s="15">
        <f t="shared" ref="F6:F12" si="1">VLOOKUP(D6,$B$17:$F$21,2,0)</f>
        <v>50000</v>
      </c>
      <c r="G6" s="16">
        <f t="shared" ref="G6:G12" si="2">VLOOKUP(D6,$B$17:$F$21,3,0)</f>
        <v>25000</v>
      </c>
      <c r="H6" s="16">
        <f t="shared" ref="H6:H11" si="3">E6-(F6+G6)</f>
        <v>45000</v>
      </c>
      <c r="I6" s="16">
        <f t="shared" ref="I6:I11" si="4">VLOOKUP(D6,$B$19:$F$21,5,0)*H6</f>
        <v>20250</v>
      </c>
      <c r="J6" s="16">
        <f t="shared" ref="J6:J11" si="5">VLOOKUP(D6,$B$19:$F$21,5,0)*H6</f>
        <v>20250</v>
      </c>
      <c r="K6" s="16">
        <f t="shared" ref="K6:K11" si="6">G6+I6</f>
        <v>45250</v>
      </c>
      <c r="L6" s="16">
        <f t="shared" ref="L6:L11" si="7">F6+J6</f>
        <v>70250</v>
      </c>
    </row>
    <row r="7" spans="1:12" x14ac:dyDescent="0.35">
      <c r="A7" s="4">
        <v>3</v>
      </c>
      <c r="B7" s="11" t="s">
        <v>25</v>
      </c>
      <c r="C7" s="4" t="s">
        <v>39</v>
      </c>
      <c r="D7" s="10" t="str">
        <f t="shared" si="0"/>
        <v>Elf</v>
      </c>
      <c r="E7" s="7">
        <v>150000</v>
      </c>
      <c r="F7" s="15">
        <f t="shared" si="1"/>
        <v>75000</v>
      </c>
      <c r="G7" s="16">
        <f t="shared" si="2"/>
        <v>37500</v>
      </c>
      <c r="H7" s="16">
        <f t="shared" si="3"/>
        <v>37500</v>
      </c>
      <c r="I7" s="16">
        <f t="shared" si="4"/>
        <v>15000</v>
      </c>
      <c r="J7" s="16">
        <f t="shared" si="5"/>
        <v>15000</v>
      </c>
      <c r="K7" s="16">
        <f t="shared" si="6"/>
        <v>52500</v>
      </c>
      <c r="L7" s="16">
        <f t="shared" si="7"/>
        <v>90000</v>
      </c>
    </row>
    <row r="8" spans="1:12" x14ac:dyDescent="0.35">
      <c r="A8" s="4">
        <v>4</v>
      </c>
      <c r="B8" s="11" t="s">
        <v>26</v>
      </c>
      <c r="C8" s="4" t="s">
        <v>40</v>
      </c>
      <c r="D8" s="10" t="str">
        <f t="shared" si="0"/>
        <v>Elf</v>
      </c>
      <c r="E8" s="7">
        <v>200000</v>
      </c>
      <c r="F8" s="15">
        <f t="shared" si="1"/>
        <v>75000</v>
      </c>
      <c r="G8" s="16">
        <f t="shared" si="2"/>
        <v>37500</v>
      </c>
      <c r="H8" s="16">
        <f t="shared" si="3"/>
        <v>87500</v>
      </c>
      <c r="I8" s="16">
        <f t="shared" si="4"/>
        <v>35000</v>
      </c>
      <c r="J8" s="16">
        <f t="shared" si="5"/>
        <v>35000</v>
      </c>
      <c r="K8" s="16">
        <f t="shared" si="6"/>
        <v>72500</v>
      </c>
      <c r="L8" s="16">
        <f t="shared" si="7"/>
        <v>110000</v>
      </c>
    </row>
    <row r="9" spans="1:12" x14ac:dyDescent="0.35">
      <c r="A9" s="4">
        <v>5</v>
      </c>
      <c r="B9" s="11" t="s">
        <v>27</v>
      </c>
      <c r="C9" s="4" t="s">
        <v>41</v>
      </c>
      <c r="D9" s="10" t="str">
        <f t="shared" si="0"/>
        <v>Angkot</v>
      </c>
      <c r="E9" s="7">
        <v>100000</v>
      </c>
      <c r="F9" s="15">
        <f t="shared" si="1"/>
        <v>50000</v>
      </c>
      <c r="G9" s="16">
        <f t="shared" si="2"/>
        <v>25000</v>
      </c>
      <c r="H9" s="16">
        <f t="shared" si="3"/>
        <v>25000</v>
      </c>
      <c r="I9" s="16">
        <f t="shared" si="4"/>
        <v>11250</v>
      </c>
      <c r="J9" s="16">
        <f t="shared" si="5"/>
        <v>11250</v>
      </c>
      <c r="K9" s="16">
        <f t="shared" si="6"/>
        <v>36250</v>
      </c>
      <c r="L9" s="16">
        <f t="shared" si="7"/>
        <v>61250</v>
      </c>
    </row>
    <row r="10" spans="1:12" x14ac:dyDescent="0.35">
      <c r="A10" s="4">
        <v>6</v>
      </c>
      <c r="B10" s="11" t="s">
        <v>28</v>
      </c>
      <c r="C10" s="4" t="s">
        <v>42</v>
      </c>
      <c r="D10" s="10" t="str">
        <f t="shared" si="0"/>
        <v>Bus</v>
      </c>
      <c r="E10" s="7">
        <v>150000</v>
      </c>
      <c r="F10" s="15">
        <f t="shared" si="1"/>
        <v>100000</v>
      </c>
      <c r="G10" s="16">
        <f t="shared" si="2"/>
        <v>50000</v>
      </c>
      <c r="H10" s="16">
        <f t="shared" si="3"/>
        <v>0</v>
      </c>
      <c r="I10" s="16">
        <f t="shared" si="4"/>
        <v>0</v>
      </c>
      <c r="J10" s="16">
        <f t="shared" si="5"/>
        <v>0</v>
      </c>
      <c r="K10" s="16">
        <f t="shared" si="6"/>
        <v>50000</v>
      </c>
      <c r="L10" s="16">
        <f t="shared" si="7"/>
        <v>100000</v>
      </c>
    </row>
    <row r="11" spans="1:12" x14ac:dyDescent="0.35">
      <c r="A11" s="4">
        <v>7</v>
      </c>
      <c r="B11" s="11" t="s">
        <v>29</v>
      </c>
      <c r="C11" s="4" t="s">
        <v>43</v>
      </c>
      <c r="D11" s="10" t="str">
        <f t="shared" si="0"/>
        <v>Bus</v>
      </c>
      <c r="E11" s="7">
        <v>300000</v>
      </c>
      <c r="F11" s="15">
        <f t="shared" si="1"/>
        <v>100000</v>
      </c>
      <c r="G11" s="16">
        <f t="shared" si="2"/>
        <v>50000</v>
      </c>
      <c r="H11" s="16">
        <f t="shared" si="3"/>
        <v>150000</v>
      </c>
      <c r="I11" s="16">
        <f t="shared" si="4"/>
        <v>75000</v>
      </c>
      <c r="J11" s="16">
        <f t="shared" si="5"/>
        <v>75000</v>
      </c>
      <c r="K11" s="16">
        <f t="shared" si="6"/>
        <v>125000</v>
      </c>
      <c r="L11" s="16">
        <f t="shared" si="7"/>
        <v>175000</v>
      </c>
    </row>
    <row r="12" spans="1:12" x14ac:dyDescent="0.35">
      <c r="A12" s="37" t="s">
        <v>19</v>
      </c>
      <c r="B12" s="37"/>
      <c r="C12" s="37"/>
      <c r="D12" s="10">
        <f>COUNTIF(D5:D11,"Bus")</f>
        <v>3</v>
      </c>
      <c r="F12" s="38"/>
      <c r="G12" s="39"/>
      <c r="I12" s="29" t="s">
        <v>22</v>
      </c>
      <c r="J12" s="30"/>
      <c r="K12" s="14">
        <f>SUM(K5:K11)</f>
        <v>466500</v>
      </c>
      <c r="L12" s="14">
        <f>SUM(L5:L11)</f>
        <v>741500</v>
      </c>
    </row>
    <row r="13" spans="1:12" x14ac:dyDescent="0.35">
      <c r="A13" s="37" t="s">
        <v>20</v>
      </c>
      <c r="B13" s="37"/>
      <c r="C13" s="37"/>
      <c r="D13" s="10">
        <f>COUNTIF(D5:D11,"Elf")</f>
        <v>2</v>
      </c>
      <c r="I13" s="29" t="s">
        <v>30</v>
      </c>
      <c r="J13" s="30"/>
      <c r="K13" s="14">
        <f>MAX(K5:K11)</f>
        <v>125000</v>
      </c>
      <c r="L13" s="14">
        <f>MAX(L5:L11)</f>
        <v>175000</v>
      </c>
    </row>
    <row r="14" spans="1:12" x14ac:dyDescent="0.35">
      <c r="A14" s="37" t="s">
        <v>21</v>
      </c>
      <c r="B14" s="37"/>
      <c r="C14" s="37"/>
      <c r="D14" s="10">
        <f>COUNTIF(D5:D11,"Angkot")</f>
        <v>2</v>
      </c>
      <c r="I14" s="29" t="s">
        <v>31</v>
      </c>
      <c r="J14" s="30"/>
      <c r="K14" s="14">
        <f>MIN(K5:K11)</f>
        <v>36250</v>
      </c>
      <c r="L14" s="14">
        <f>MIN(L5:L11)</f>
        <v>61250</v>
      </c>
    </row>
    <row r="15" spans="1:12" x14ac:dyDescent="0.35">
      <c r="D15" s="10"/>
      <c r="I15" s="29" t="s">
        <v>32</v>
      </c>
      <c r="J15" s="30"/>
      <c r="K15" s="14">
        <f>AVERAGE(K5:K11)</f>
        <v>66642.857142857145</v>
      </c>
      <c r="L15" s="14">
        <f>AVERAGE(L5:L11)</f>
        <v>105928.57142857143</v>
      </c>
    </row>
    <row r="16" spans="1:12" x14ac:dyDescent="0.35">
      <c r="A16" s="8" t="s">
        <v>12</v>
      </c>
      <c r="D16" s="10"/>
    </row>
    <row r="17" spans="1:12" ht="15" customHeight="1" x14ac:dyDescent="0.35">
      <c r="A17" s="27" t="s">
        <v>2</v>
      </c>
      <c r="B17" s="27" t="s">
        <v>3</v>
      </c>
      <c r="C17" s="27" t="s">
        <v>4</v>
      </c>
      <c r="D17" s="27" t="s">
        <v>6</v>
      </c>
      <c r="E17" s="31" t="s">
        <v>8</v>
      </c>
      <c r="F17" s="32"/>
    </row>
    <row r="18" spans="1:12" x14ac:dyDescent="0.35">
      <c r="A18" s="28"/>
      <c r="B18" s="28"/>
      <c r="C18" s="28"/>
      <c r="D18" s="28"/>
      <c r="E18" s="12" t="s">
        <v>9</v>
      </c>
      <c r="F18" s="12" t="s">
        <v>10</v>
      </c>
    </row>
    <row r="19" spans="1:12" x14ac:dyDescent="0.35">
      <c r="A19" s="4" t="s">
        <v>13</v>
      </c>
      <c r="B19" s="2" t="s">
        <v>16</v>
      </c>
      <c r="C19" s="5">
        <v>100000</v>
      </c>
      <c r="D19" s="5">
        <v>50000</v>
      </c>
      <c r="E19" s="9">
        <v>0.5</v>
      </c>
      <c r="F19" s="9">
        <v>0.5</v>
      </c>
    </row>
    <row r="20" spans="1:12" x14ac:dyDescent="0.35">
      <c r="A20" s="4" t="s">
        <v>14</v>
      </c>
      <c r="B20" s="2" t="s">
        <v>17</v>
      </c>
      <c r="C20" s="5">
        <v>75000</v>
      </c>
      <c r="D20" s="5">
        <v>37500</v>
      </c>
      <c r="E20" s="9">
        <v>0.6</v>
      </c>
      <c r="F20" s="9">
        <v>0.4</v>
      </c>
    </row>
    <row r="21" spans="1:12" x14ac:dyDescent="0.35">
      <c r="A21" s="4" t="s">
        <v>15</v>
      </c>
      <c r="B21" s="2" t="s">
        <v>18</v>
      </c>
      <c r="C21" s="5">
        <v>50000</v>
      </c>
      <c r="D21" s="5">
        <v>25000</v>
      </c>
      <c r="E21" s="9">
        <v>0.55000000000000004</v>
      </c>
      <c r="F21" s="9">
        <v>0.45</v>
      </c>
    </row>
    <row r="23" spans="1:12" x14ac:dyDescent="0.35">
      <c r="A23" s="17" t="s">
        <v>35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x14ac:dyDescent="0.35">
      <c r="A24" s="20" t="s">
        <v>47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x14ac:dyDescent="0.35">
      <c r="A25" s="20" t="s">
        <v>48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x14ac:dyDescent="0.35">
      <c r="A26" s="20" t="s">
        <v>44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x14ac:dyDescent="0.35">
      <c r="A27" s="20" t="s">
        <v>45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x14ac:dyDescent="0.35">
      <c r="A28" s="20" t="s">
        <v>46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x14ac:dyDescent="0.35">
      <c r="A29" s="20" t="s">
        <v>33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x14ac:dyDescent="0.35">
      <c r="A30" s="23" t="s">
        <v>34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5"/>
    </row>
  </sheetData>
  <mergeCells count="31">
    <mergeCell ref="K3:L3"/>
    <mergeCell ref="F3:F4"/>
    <mergeCell ref="A12:C12"/>
    <mergeCell ref="A13:C13"/>
    <mergeCell ref="A14:C14"/>
    <mergeCell ref="D3:D4"/>
    <mergeCell ref="E3:E4"/>
    <mergeCell ref="G3:G4"/>
    <mergeCell ref="H3:H4"/>
    <mergeCell ref="I3:J3"/>
    <mergeCell ref="A28:L28"/>
    <mergeCell ref="A29:L29"/>
    <mergeCell ref="A30:L30"/>
    <mergeCell ref="A1:L1"/>
    <mergeCell ref="A17:A18"/>
    <mergeCell ref="B17:B18"/>
    <mergeCell ref="I12:J12"/>
    <mergeCell ref="I13:J13"/>
    <mergeCell ref="I14:J14"/>
    <mergeCell ref="I15:J15"/>
    <mergeCell ref="C17:C18"/>
    <mergeCell ref="D17:D18"/>
    <mergeCell ref="E17:F17"/>
    <mergeCell ref="A3:A4"/>
    <mergeCell ref="B3:B4"/>
    <mergeCell ref="C3:C4"/>
    <mergeCell ref="A23:L23"/>
    <mergeCell ref="A24:L24"/>
    <mergeCell ref="A25:L25"/>
    <mergeCell ref="A26:L26"/>
    <mergeCell ref="A27:L2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TABEL_SETORAN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azzaury</dc:creator>
  <cp:lastModifiedBy>ASUS</cp:lastModifiedBy>
  <dcterms:created xsi:type="dcterms:W3CDTF">2023-08-09T04:59:06Z</dcterms:created>
  <dcterms:modified xsi:type="dcterms:W3CDTF">2025-07-09T10:51:13Z</dcterms:modified>
</cp:coreProperties>
</file>