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ata Flsdhdisk\Data Analyst\Excel\Alex The Analyst\"/>
    </mc:Choice>
  </mc:AlternateContent>
  <xr:revisionPtr revIDLastSave="0" documentId="13_ncr:1_{8E697F56-FA62-492F-8919-BF4331A9DFA7}" xr6:coauthVersionLast="47" xr6:coauthVersionMax="47" xr10:uidLastSave="{00000000-0000-0000-0000-000000000000}"/>
  <bookViews>
    <workbookView xWindow="-110" yWindow="-110" windowWidth="19420" windowHeight="1102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2" i="7"/>
  <c r="L3" i="7"/>
  <c r="L4" i="7"/>
  <c r="L5" i="7"/>
  <c r="L6" i="7"/>
  <c r="L7" i="7"/>
  <c r="L8" i="7"/>
  <c r="L9" i="7"/>
  <c r="L10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J3" i="8"/>
  <c r="J4" i="8"/>
  <c r="J5" i="8"/>
  <c r="J6" i="8"/>
  <c r="J7" i="8"/>
  <c r="J8" i="8"/>
  <c r="J9" i="8"/>
  <c r="J10" i="8"/>
  <c r="J2" i="8"/>
  <c r="K3" i="8"/>
  <c r="K4" i="8"/>
  <c r="K5" i="8"/>
  <c r="K6" i="8"/>
  <c r="K7" i="8"/>
  <c r="K8" i="8"/>
  <c r="K9" i="8"/>
  <c r="K10" i="8"/>
  <c r="K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<sst xmlns="http://schemas.openxmlformats.org/spreadsheetml/2006/main" count="583" uniqueCount="93">
  <si>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</si>
  <si>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</si>
  <si>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</si>
  <si>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</si>
  <si>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</si>
  <si>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</si>
  <si>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</si>
  <si>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</si>
  <si>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</si>
  <si>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</si>
  <si>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</si>
  <si>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</si>
  <si>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</si>
  <si>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</si>
  <si>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</si>
  <si>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</si>
  <si>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</si>
  <si>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</si>
  <si>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</si>
  <si>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</si>
  <si>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</si>
  <si>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</si>
  <si>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</si>
  <si>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</si>
  <si>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</si>
  <si>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</si>
  <si>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</si>
  <si>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</si>
  <si>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</si>
  <si>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</si>
  <si>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</si>
  <si>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</si>
  <si>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</si>
  <si>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</si>
  <si>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</si>
  <si>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</si>
  <si>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</si>
  <si>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</si>
  <si>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</si>
  <si>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</si>
  <si>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</si>
  <si>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</si>
  <si>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</si>
  <si>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</si>
  <si>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</si>
  <si>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</si>
  <si>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</si>
  <si>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</si>
  <si>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</si>
  <si>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</si>
  <si>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</si>
  <si>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</si>
  <si>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</si>
  <si>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</si>
  <si>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</si>
  <si>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</si>
  <si>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</si>
  <si>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</si>
  <si>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</si>
  <si>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</si>
  <si>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</si>
  <si>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</si>
  <si>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</si>
  <si>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</si>
  <si>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</si>
  <si>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</si>
  <si>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</si>
  <si>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</si>
  <si>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</si>
  <si>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</si>
  <si>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</si>
  <si>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</si>
  <si>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</si>
  <si>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</si>
  <si>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</si>
  <si>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</si>
  <si>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</si>
  <si>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</si>
  <si>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</si>
  <si>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</si>
  <si>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</si>
  <si>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</si>
  <si>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</si>
  <si>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</si>
  <si>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</si>
  <si>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</si>
  <si>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</si>
  <si>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</si>
  <si>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1-5-2000</t>
  </si>
  <si>
    <t>5-6-2001</t>
  </si>
  <si>
    <t>8/09/2017</t>
  </si>
  <si>
    <t>8/9/2012</t>
  </si>
  <si>
    <t>22/2/2022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</si>
</sst>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A4" workbookViewId="0">
      <selection activeCell="L2" sqref="L2"/>
    </sheetView>
  </sheetViews>
  <sheetFormatPr defaultColWidth="13.6328125" defaultRowHeight="14.5" x14ac:dyDescent="0.35"/>
  <cols>
    <col min="1" max="1" width="10.81640625" bestFit="1" customWidth="1"/>
    <col min="2" max="2" width="9.26953125" bestFit="1" customWidth="1"/>
    <col min="3" max="3" width="10.08984375" bestFit="1" customWidth="1"/>
    <col min="4" max="4" width="3.90625" bestFit="1" customWidth="1"/>
    <col min="5" max="5" width="7" bestFit="1" customWidth="1"/>
    <col min="6" max="6" width="15.90625" bestFit="1" customWidth="1"/>
    <col min="7" max="7" width="5.81640625" bestFit="1" customWidth="1"/>
    <col min="8" max="9" width="10.453125" bestFit="1" customWidth="1"/>
    <col min="10" max="10" width="5.7265625" bestFit="1" customWidth="1"/>
    <col min="11" max="11" width="23.36328125" bestFit="1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IF(D2&gt;30,"Tua","Muda")</f>
        <v>Muda</v>
      </c>
      <c r="K2" t="str">
        <f>_xlfn.IFS(F2 ="Salesman","Semangat Bro Jualannya",F2="Receptionist","Layani dengan Senyuman",F2="HR","Terima gw Begawe",F2="Accountant","Lihat Nolnya dengan Benar")</f>
        <v>Semangat Bro Jualannya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IF(D3&gt;30,"Tua","Muda")</f>
        <v>Muda</v>
      </c>
      <c r="K3" t="str">
        <f t="shared" ref="K3:K10" si="1">_xlfn.IFS(F3 ="Salesman","Semangat Bro Jualannya",F3="Receptionist","Layani dengan Senyuman",F3="HR","Terima gw Begawe",F3="Accountant","Lihat Nolnya dengan Benar")</f>
        <v>Layani dengan Senyuman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Muda</v>
      </c>
      <c r="K4" t="str">
        <f t="shared" si="1"/>
        <v>Semangat Bro Jualannya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Tua</v>
      </c>
      <c r="K5" t="str">
        <f t="shared" si="1"/>
        <v>Lihat Nolnya dengan Benar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Tua</v>
      </c>
      <c r="K6" t="str">
        <f t="shared" si="1"/>
        <v>Terima gw Begawe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Tua</v>
      </c>
      <c r="K7" t="e">
        <f t="shared" si="1"/>
        <v>#N/A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Tua</v>
      </c>
      <c r="K8" t="e">
        <f t="shared" si="1"/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Tua</v>
      </c>
      <c r="K9" t="str">
        <f t="shared" si="1"/>
        <v>Semangat Bro Jualannya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Tua</v>
      </c>
      <c r="K10" t="str">
        <f t="shared" si="1"/>
        <v>Lihat Nolnya dengan Benar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LEN(C3)</f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B10" zoomScale="85" zoomScaleNormal="85" workbookViewId="0">
      <selection activeCell="M2" sqref="M2:M10"/>
    </sheetView>
  </sheetViews>
  <sheetFormatPr defaultColWidth="14.54296875" defaultRowHeight="14.5" x14ac:dyDescent="0.35"/>
  <cols>
    <col min="4" max="4" width="8" customWidth="1"/>
    <col min="10" max="10" width="41.36328125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LEFT(B2,3)</f>
        <v>Jim</v>
      </c>
      <c r="L2" t="str">
        <f>RIGHT(A2,2)</f>
        <v>01</v>
      </c>
      <c r="M2" t="str">
        <f>RIGHT(H2,4)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LEFT(B3,3)</f>
        <v>Pam</v>
      </c>
      <c r="L3" t="str">
        <f t="shared" ref="L3:L10" si="1">RIGHT(A3,2)</f>
        <v>02</v>
      </c>
      <c r="M3" t="str">
        <f t="shared" ref="M3:M10" si="2">RIGHT(H3,4)</f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03</v>
      </c>
      <c r="M4" t="str">
        <f t="shared" si="2"/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04</v>
      </c>
      <c r="M5" t="str">
        <f t="shared" si="2"/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05</v>
      </c>
      <c r="M6" t="str">
        <f t="shared" si="2"/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06</v>
      </c>
      <c r="M7" t="str">
        <f t="shared" si="2"/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07</v>
      </c>
      <c r="M8" t="str">
        <f t="shared" si="2"/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08</v>
      </c>
      <c r="M9" t="str">
        <f t="shared" si="2"/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09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topLeftCell="A4" workbookViewId="0">
      <selection activeCell="I15" sqref="I15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TEXT(H2,"dd/mm/yyyy")</f>
        <v>02/11/2001</v>
      </c>
      <c r="K2" s="2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TEXT(H3,"dd/mm/yyyy")</f>
        <v>03/10/1999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2" sqref="J2:J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TRIM(C3)</f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topLeftCell="A7" workbookViewId="0">
      <selection activeCell="J2" sqref="J2:J10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35">
      <c r="H11" t="str">
        <f t="shared" ref="H11:H12" si="1">CONCATENATE(B11," ",C11)</f>
        <v xml:space="preserve"> </v>
      </c>
    </row>
    <row r="12" spans="1:10" x14ac:dyDescent="0.35">
      <c r="H12" t="str">
        <f t="shared" si="1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2" sqref="K2:K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SUBSTITUTE(H2,"/","-",1)</f>
        <v>11-2/2001</v>
      </c>
      <c r="K2" t="str">
        <f>SUBSTITUTE(H2,"/","-",2)</f>
        <v>11/2-2001</v>
      </c>
      <c r="L2" t="str">
        <f>SUBSTITUTE(H2,"/","-")</f>
        <v>11-2-2001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SUBSTITUTE(H3,"/","-",1)</f>
        <v>10-3/1999</v>
      </c>
      <c r="K3" t="str">
        <f t="shared" ref="K3:K10" si="1">SUBSTITUTE(H3,"/","-",2)</f>
        <v>10/3-1999</v>
      </c>
      <c r="L3" t="str">
        <f t="shared" ref="L3:L10" si="2">SUBSTITUTE(H3,"/","-")</f>
        <v>10-3-1999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88</v>
      </c>
      <c r="I5" s="2" t="s">
        <v>59</v>
      </c>
      <c r="J5" t="str">
        <f t="shared" si="0"/>
        <v>1-5-2000</v>
      </c>
      <c r="K5" t="str">
        <f t="shared" si="1"/>
        <v>1-5-2000</v>
      </c>
      <c r="L5" t="str">
        <f t="shared" si="2"/>
        <v>1-5-2000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89</v>
      </c>
      <c r="I6" s="2" t="s">
        <v>60</v>
      </c>
      <c r="J6" t="str">
        <f t="shared" si="0"/>
        <v>5-6-2001</v>
      </c>
      <c r="K6" t="str">
        <f t="shared" si="1"/>
        <v>5-6-2001</v>
      </c>
      <c r="L6" t="str">
        <f t="shared" si="2"/>
        <v>5-6-2001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SUMIF(G2:G10,"&gt;=50000")</f>
        <v>178000</v>
      </c>
      <c r="L2">
        <f>SUMIFS(G2:G10,E2:E10,"Female",D2:D10,"&gt;30")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A4"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COUNTIF(G2:G10,"&lt;45000")</f>
        <v>3</v>
      </c>
      <c r="L2">
        <f>COUNTIFS(A2:A10,"&lt;1005",D2:D10,"&lt;45",E2:E10,"Male")</f>
        <v>2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I11" sqref="I11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_xlfn.DAYS(I2:I10,H2:H10)</f>
        <v>5231</v>
      </c>
      <c r="K2">
        <f>NETWORKDAYS(H2,I2,)</f>
        <v>3737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_xlfn.DAYS(I3:I11,H3:H11)</f>
        <v>6058</v>
      </c>
      <c r="K3">
        <f t="shared" ref="K3:K10" si="1">NETWORKDAYS(H3,I3,)</f>
        <v>4328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90</v>
      </c>
      <c r="J6">
        <f t="shared" si="0"/>
        <v>5939</v>
      </c>
      <c r="K6">
        <f t="shared" si="1"/>
        <v>4244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91</v>
      </c>
      <c r="J9">
        <f t="shared" si="0"/>
        <v>3655</v>
      </c>
      <c r="K9">
        <f t="shared" si="1"/>
        <v>2611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92</v>
      </c>
      <c r="J10">
        <f t="shared" si="0"/>
        <v>6712</v>
      </c>
      <c r="K10">
        <f t="shared" si="1"/>
        <v>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ASUS</cp:lastModifiedBy>
  <dcterms:created xsi:type="dcterms:W3CDTF">2021-12-16T14:18:34Z</dcterms:created>
  <dcterms:modified xsi:type="dcterms:W3CDTF">2025-07-10T08:58:05Z</dcterms:modified>
</cp:coreProperties>
</file>